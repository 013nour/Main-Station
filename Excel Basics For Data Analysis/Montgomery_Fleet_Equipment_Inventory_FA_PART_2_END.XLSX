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na1\Downloads\"/>
    </mc:Choice>
  </mc:AlternateContent>
  <xr:revisionPtr revIDLastSave="0" documentId="8_{518AFFE5-BEF8-4019-951F-D66C325A15C5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Montgomery_Fleet_Equipment_Inve" sheetId="1" r:id="rId1"/>
    <sheet name="Pivot1" sheetId="2" r:id="rId2"/>
    <sheet name="Pivot2" sheetId="3" r:id="rId3"/>
    <sheet name="Pivot3" sheetId="4" r:id="rId4"/>
  </sheets>
  <definedNames>
    <definedName name="_xlnm._FilterDatabase" localSheetId="0" hidden="1">Montgomery_Fleet_Equipment_Inve!$A$1:$C$50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<sst xmlns="http://schemas.openxmlformats.org/spreadsheetml/2006/main" count="165" uniqueCount="37">
  <si>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</si>
  <si>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</si>
  <si>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</si>
  <si>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</si>
  <si>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</si>
  <si>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</si>
  <si>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</si>
  <si>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</si>
  <si>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</si>
  <si>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</si>
  <si>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</si>
  <si>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</si>
  <si>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</si>
  <si>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</si>
  <si>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</si>
  <si>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</si>
  <si>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</si>
  <si>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</si>
  <si>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</si>
  <si>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</si>
  <si>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</si>
  <si>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</si>
  <si>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</si>
  <si>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</si>
  <si>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</si>
  <si>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</si>
  <si>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</si>
  <si>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</si>
  <si>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</si>
  <si>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</si>
  <si>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</si>
  <si>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</si>
  <si>
    <t>sum</t>
  </si>
  <si>
    <t>AVG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</si>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</sst>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ur Abdullah" refreshedDate="44975.210078240743" createdVersion="8" refreshedVersion="8" minRefreshableVersion="3" recordCount="49" xr:uid="{4DD4FCA8-B9F6-4614-BB88-366656AC7A51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4605F-70FF-4794-A681-ABE7CA535A1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2A18F-8D61-40C1-919A-AB7F2A8089A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26B3C-416E-4300-8EAB-2DDEBE774C5B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88647-1A81-4415-AA34-38A1850A298E}" name="Table1" displayName="Table1" ref="A1:C50" totalsRowShown="0">
  <autoFilter ref="A1:C50" xr:uid="{6C888647-1A81-4415-AA34-38A1850A298E}"/>
  <tableColumns count="3">
    <tableColumn id="1" xr3:uid="{461DF1A4-F760-40FE-99EE-03E210A9EC2C}" name="Department"/>
    <tableColumn id="2" xr3:uid="{EC269637-CEB6-4F39-9426-425E185AE9D9}" name="Equipment Class"/>
    <tableColumn id="3" xr3:uid="{8AEEACF5-4F8A-433C-B5B9-921742DE511E}" name="Equipment Cou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opLeftCell="A2" workbookViewId="0">
      <selection sqref="A1:C50"/>
    </sheetView>
  </sheetViews>
  <sheetFormatPr defaultRowHeight="14.5" x14ac:dyDescent="0.35"/>
  <cols>
    <col min="1" max="1" width="29.453125" bestFit="1" customWidth="1"/>
    <col min="2" max="2" width="26.1796875" bestFit="1" customWidth="1"/>
    <col min="3" max="3" width="17.36328125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t="s">
        <v>5</v>
      </c>
      <c r="B2" t="s">
        <v>6</v>
      </c>
      <c r="C2">
        <v>21</v>
      </c>
      <c r="E2" t="s">
        <v>32</v>
      </c>
      <c r="F2">
        <f>SUM(Table1[Equipment Count])</f>
        <v>1582</v>
      </c>
    </row>
    <row r="3" spans="1:6" x14ac:dyDescent="0.35">
      <c r="A3" t="s">
        <v>5</v>
      </c>
      <c r="B3" t="s">
        <v>7</v>
      </c>
      <c r="C3">
        <v>1</v>
      </c>
      <c r="E3" t="s">
        <v>33</v>
      </c>
      <c r="F3">
        <f>AVERAGE(Table1[Equipment Count])</f>
        <v>32.285714285714285</v>
      </c>
    </row>
    <row r="4" spans="1:6" x14ac:dyDescent="0.35">
      <c r="A4" t="s">
        <v>5</v>
      </c>
      <c r="B4" t="s">
        <v>4</v>
      </c>
      <c r="C4">
        <v>23</v>
      </c>
      <c r="E4" t="s">
        <v>34</v>
      </c>
      <c r="F4">
        <f>MIN(Table1[Equipment Count])</f>
        <v>1</v>
      </c>
    </row>
    <row r="5" spans="1:6" x14ac:dyDescent="0.35">
      <c r="A5" t="s">
        <v>8</v>
      </c>
      <c r="B5" t="s">
        <v>4</v>
      </c>
      <c r="C5">
        <v>2</v>
      </c>
      <c r="E5" t="s">
        <v>35</v>
      </c>
      <c r="F5">
        <f>MAX(Table1[Equipment Count])</f>
        <v>379</v>
      </c>
    </row>
    <row r="6" spans="1:6" x14ac:dyDescent="0.35">
      <c r="A6" t="s">
        <v>9</v>
      </c>
      <c r="B6" t="s">
        <v>6</v>
      </c>
      <c r="C6">
        <v>3</v>
      </c>
      <c r="E6" t="s">
        <v>36</v>
      </c>
      <c r="F6">
        <f>COUNT(Table1[Equipment Count])</f>
        <v>49</v>
      </c>
    </row>
    <row r="7" spans="1:6" x14ac:dyDescent="0.35">
      <c r="A7" t="s">
        <v>9</v>
      </c>
      <c r="B7" t="s">
        <v>10</v>
      </c>
      <c r="C7">
        <v>2</v>
      </c>
    </row>
    <row r="8" spans="1:6" x14ac:dyDescent="0.35">
      <c r="A8" t="s">
        <v>9</v>
      </c>
      <c r="B8" t="s">
        <v>11</v>
      </c>
      <c r="C8">
        <v>1</v>
      </c>
    </row>
    <row r="9" spans="1:6" x14ac:dyDescent="0.35">
      <c r="A9" t="s">
        <v>12</v>
      </c>
      <c r="B9" t="s">
        <v>10</v>
      </c>
      <c r="C9">
        <v>2</v>
      </c>
    </row>
    <row r="10" spans="1:6" x14ac:dyDescent="0.35">
      <c r="A10" t="s">
        <v>12</v>
      </c>
      <c r="B10" t="s">
        <v>13</v>
      </c>
      <c r="C10">
        <v>42</v>
      </c>
    </row>
    <row r="11" spans="1:6" x14ac:dyDescent="0.35">
      <c r="A11" t="s">
        <v>12</v>
      </c>
      <c r="B11" t="s">
        <v>7</v>
      </c>
      <c r="C11">
        <v>1</v>
      </c>
    </row>
    <row r="12" spans="1:6" x14ac:dyDescent="0.35">
      <c r="A12" t="s">
        <v>12</v>
      </c>
      <c r="B12" t="s">
        <v>4</v>
      </c>
      <c r="C12">
        <v>11</v>
      </c>
    </row>
    <row r="13" spans="1:6" x14ac:dyDescent="0.35">
      <c r="A13" t="s">
        <v>14</v>
      </c>
      <c r="B13" t="s">
        <v>7</v>
      </c>
      <c r="C13">
        <v>1</v>
      </c>
    </row>
    <row r="14" spans="1:6" x14ac:dyDescent="0.35">
      <c r="A14" t="s">
        <v>15</v>
      </c>
      <c r="B14" t="s">
        <v>16</v>
      </c>
      <c r="C14">
        <v>9</v>
      </c>
    </row>
    <row r="15" spans="1:6" x14ac:dyDescent="0.35">
      <c r="A15" t="s">
        <v>15</v>
      </c>
      <c r="B15" t="s">
        <v>7</v>
      </c>
      <c r="C15">
        <v>27</v>
      </c>
    </row>
    <row r="16" spans="1:6" x14ac:dyDescent="0.35">
      <c r="A16" t="s">
        <v>15</v>
      </c>
      <c r="B16" t="s">
        <v>6</v>
      </c>
      <c r="C16">
        <v>24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15</v>
      </c>
      <c r="B18" t="s">
        <v>4</v>
      </c>
      <c r="C18">
        <v>48</v>
      </c>
    </row>
    <row r="19" spans="1:3" x14ac:dyDescent="0.35">
      <c r="A19" t="s">
        <v>17</v>
      </c>
      <c r="B19" t="s">
        <v>10</v>
      </c>
      <c r="C19">
        <v>1</v>
      </c>
    </row>
    <row r="20" spans="1:3" x14ac:dyDescent="0.35">
      <c r="A20" t="s">
        <v>18</v>
      </c>
      <c r="B20" t="s">
        <v>4</v>
      </c>
      <c r="C20">
        <v>6</v>
      </c>
    </row>
    <row r="21" spans="1:3" x14ac:dyDescent="0.35">
      <c r="A21" t="s">
        <v>18</v>
      </c>
      <c r="B21" t="s">
        <v>6</v>
      </c>
      <c r="C21">
        <v>5</v>
      </c>
    </row>
    <row r="22" spans="1:3" x14ac:dyDescent="0.35">
      <c r="A22" t="s">
        <v>18</v>
      </c>
      <c r="B22" t="s">
        <v>7</v>
      </c>
      <c r="C22">
        <v>2</v>
      </c>
    </row>
    <row r="23" spans="1:3" x14ac:dyDescent="0.35">
      <c r="A23" t="s">
        <v>18</v>
      </c>
      <c r="B23" t="s">
        <v>10</v>
      </c>
      <c r="C23">
        <v>15</v>
      </c>
    </row>
    <row r="24" spans="1:3" x14ac:dyDescent="0.35">
      <c r="A24" t="s">
        <v>18</v>
      </c>
      <c r="B24" t="s">
        <v>28</v>
      </c>
      <c r="C24">
        <v>7</v>
      </c>
    </row>
    <row r="25" spans="1:3" x14ac:dyDescent="0.35">
      <c r="A25" t="s">
        <v>19</v>
      </c>
      <c r="B25" t="s">
        <v>3</v>
      </c>
      <c r="C25">
        <v>20</v>
      </c>
    </row>
    <row r="26" spans="1:3" x14ac:dyDescent="0.35">
      <c r="A26" t="s">
        <v>19</v>
      </c>
      <c r="B26" t="s">
        <v>4</v>
      </c>
      <c r="C26">
        <v>1</v>
      </c>
    </row>
    <row r="27" spans="1:3" x14ac:dyDescent="0.35">
      <c r="A27" t="s">
        <v>19</v>
      </c>
      <c r="B27" t="s">
        <v>11</v>
      </c>
      <c r="C27">
        <v>1</v>
      </c>
    </row>
    <row r="28" spans="1:3" x14ac:dyDescent="0.35">
      <c r="A28" t="s">
        <v>19</v>
      </c>
      <c r="B28" t="s">
        <v>6</v>
      </c>
      <c r="C28">
        <v>3</v>
      </c>
    </row>
    <row r="29" spans="1:3" x14ac:dyDescent="0.35">
      <c r="A29" t="s">
        <v>19</v>
      </c>
      <c r="B29" t="s">
        <v>7</v>
      </c>
      <c r="C29">
        <v>1</v>
      </c>
    </row>
    <row r="30" spans="1:3" x14ac:dyDescent="0.35">
      <c r="A30" t="s">
        <v>19</v>
      </c>
      <c r="B30" t="s">
        <v>20</v>
      </c>
      <c r="C30">
        <v>8</v>
      </c>
    </row>
    <row r="31" spans="1:3" x14ac:dyDescent="0.35">
      <c r="A31" t="s">
        <v>19</v>
      </c>
      <c r="B31" t="s">
        <v>21</v>
      </c>
      <c r="C31">
        <v>4</v>
      </c>
    </row>
    <row r="32" spans="1:3" x14ac:dyDescent="0.35">
      <c r="A32" t="s">
        <v>19</v>
      </c>
      <c r="B32" t="s">
        <v>22</v>
      </c>
      <c r="C32">
        <v>46</v>
      </c>
    </row>
    <row r="33" spans="1:3" x14ac:dyDescent="0.35">
      <c r="A33" t="s">
        <v>19</v>
      </c>
      <c r="B33" t="s">
        <v>23</v>
      </c>
      <c r="C33">
        <v>1</v>
      </c>
    </row>
    <row r="34" spans="1:3" x14ac:dyDescent="0.35">
      <c r="A34" t="s">
        <v>24</v>
      </c>
      <c r="B34" t="s">
        <v>22</v>
      </c>
      <c r="C34">
        <v>1</v>
      </c>
    </row>
    <row r="35" spans="1:3" x14ac:dyDescent="0.35">
      <c r="A35" t="s">
        <v>24</v>
      </c>
      <c r="B35" t="s">
        <v>10</v>
      </c>
      <c r="C35">
        <v>1</v>
      </c>
    </row>
    <row r="36" spans="1:3" x14ac:dyDescent="0.35">
      <c r="A36" t="s">
        <v>24</v>
      </c>
      <c r="B36" t="s">
        <v>7</v>
      </c>
      <c r="C36">
        <v>1</v>
      </c>
    </row>
    <row r="37" spans="1:3" x14ac:dyDescent="0.35">
      <c r="A37" t="s">
        <v>24</v>
      </c>
      <c r="B37" t="s">
        <v>4</v>
      </c>
      <c r="C37">
        <v>2</v>
      </c>
    </row>
    <row r="38" spans="1:3" x14ac:dyDescent="0.35">
      <c r="A38" t="s">
        <v>25</v>
      </c>
      <c r="B38" t="s">
        <v>6</v>
      </c>
      <c r="C38">
        <v>1</v>
      </c>
    </row>
    <row r="39" spans="1:3" x14ac:dyDescent="0.35">
      <c r="A39" t="s">
        <v>25</v>
      </c>
      <c r="B39" t="s">
        <v>16</v>
      </c>
      <c r="C39">
        <v>1</v>
      </c>
    </row>
    <row r="40" spans="1:3" x14ac:dyDescent="0.35">
      <c r="A40" t="s">
        <v>25</v>
      </c>
      <c r="B40" t="s">
        <v>10</v>
      </c>
      <c r="C40">
        <v>11</v>
      </c>
    </row>
    <row r="41" spans="1:3" x14ac:dyDescent="0.35">
      <c r="A41" t="s">
        <v>25</v>
      </c>
      <c r="B41" t="s">
        <v>7</v>
      </c>
      <c r="C41">
        <v>3</v>
      </c>
    </row>
    <row r="42" spans="1:3" x14ac:dyDescent="0.35">
      <c r="A42" t="s">
        <v>26</v>
      </c>
      <c r="B42" t="s">
        <v>6</v>
      </c>
      <c r="C42">
        <v>93</v>
      </c>
    </row>
    <row r="43" spans="1:3" x14ac:dyDescent="0.35">
      <c r="A43" t="s">
        <v>26</v>
      </c>
      <c r="B43" t="s">
        <v>13</v>
      </c>
      <c r="C43">
        <v>248</v>
      </c>
    </row>
    <row r="44" spans="1:3" x14ac:dyDescent="0.35">
      <c r="A44" t="s">
        <v>26</v>
      </c>
      <c r="B44" t="s">
        <v>27</v>
      </c>
      <c r="C44">
        <v>379</v>
      </c>
    </row>
    <row r="45" spans="1:3" x14ac:dyDescent="0.35">
      <c r="A45" t="s">
        <v>26</v>
      </c>
      <c r="B45" t="s">
        <v>7</v>
      </c>
      <c r="C45">
        <v>53</v>
      </c>
    </row>
    <row r="46" spans="1:3" x14ac:dyDescent="0.35">
      <c r="A46" t="s">
        <v>26</v>
      </c>
      <c r="B46" t="s">
        <v>10</v>
      </c>
      <c r="C46">
        <v>32</v>
      </c>
    </row>
    <row r="47" spans="1:3" x14ac:dyDescent="0.35">
      <c r="A47" t="s">
        <v>26</v>
      </c>
      <c r="B47" t="s">
        <v>11</v>
      </c>
      <c r="C47">
        <v>98</v>
      </c>
    </row>
    <row r="48" spans="1:3" x14ac:dyDescent="0.35">
      <c r="A48" t="s">
        <v>26</v>
      </c>
      <c r="B48" t="s">
        <v>28</v>
      </c>
      <c r="C48">
        <v>276</v>
      </c>
    </row>
    <row r="49" spans="1:3" x14ac:dyDescent="0.35">
      <c r="A49" t="s">
        <v>26</v>
      </c>
      <c r="B49" t="s">
        <v>16</v>
      </c>
      <c r="C49">
        <v>5</v>
      </c>
    </row>
    <row r="50" spans="1:3" x14ac:dyDescent="0.3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1A41-25BB-47FE-8B5B-E7232B9CB75E}">
  <dimension ref="A3:B16"/>
  <sheetViews>
    <sheetView workbookViewId="0">
      <selection activeCell="D21" sqref="D21"/>
    </sheetView>
  </sheetViews>
  <sheetFormatPr defaultRowHeight="14.5" x14ac:dyDescent="0.35"/>
  <cols>
    <col min="1" max="1" width="27.54296875" bestFit="1" customWidth="1"/>
    <col min="2" max="2" width="22.08984375" bestFit="1" customWidth="1"/>
    <col min="3" max="3" width="10.36328125" bestFit="1" customWidth="1"/>
    <col min="4" max="4" width="12.26953125" bestFit="1" customWidth="1"/>
    <col min="5" max="5" width="24.54296875" bestFit="1" customWidth="1"/>
    <col min="6" max="6" width="13" bestFit="1" customWidth="1"/>
    <col min="7" max="7" width="15.54296875" bestFit="1" customWidth="1"/>
    <col min="8" max="8" width="24.26953125" bestFit="1" customWidth="1"/>
    <col min="9" max="9" width="17.1796875" bestFit="1" customWidth="1"/>
    <col min="10" max="10" width="15.36328125" bestFit="1" customWidth="1"/>
    <col min="11" max="11" width="15.26953125" bestFit="1" customWidth="1"/>
    <col min="12" max="12" width="5.90625" bestFit="1" customWidth="1"/>
    <col min="13" max="13" width="4.1796875" bestFit="1" customWidth="1"/>
    <col min="14" max="14" width="10.08984375" bestFit="1" customWidth="1"/>
    <col min="15" max="15" width="4.08984375" bestFit="1" customWidth="1"/>
    <col min="16" max="16" width="10.7265625" bestFit="1" customWidth="1"/>
  </cols>
  <sheetData>
    <row r="3" spans="1:2" x14ac:dyDescent="0.35">
      <c r="A3" s="1" t="s">
        <v>29</v>
      </c>
      <c r="B3" t="s">
        <v>31</v>
      </c>
    </row>
    <row r="4" spans="1:2" x14ac:dyDescent="0.35">
      <c r="A4" s="2" t="s">
        <v>26</v>
      </c>
      <c r="B4" s="3">
        <v>1221</v>
      </c>
    </row>
    <row r="5" spans="1:2" x14ac:dyDescent="0.35">
      <c r="A5" s="2" t="s">
        <v>25</v>
      </c>
      <c r="B5" s="3">
        <v>16</v>
      </c>
    </row>
    <row r="6" spans="1:2" x14ac:dyDescent="0.35">
      <c r="A6" s="2" t="s">
        <v>24</v>
      </c>
      <c r="B6" s="3">
        <v>5</v>
      </c>
    </row>
    <row r="7" spans="1:2" x14ac:dyDescent="0.35">
      <c r="A7" s="2" t="s">
        <v>19</v>
      </c>
      <c r="B7" s="3">
        <v>85</v>
      </c>
    </row>
    <row r="8" spans="1:2" x14ac:dyDescent="0.35">
      <c r="A8" s="2" t="s">
        <v>18</v>
      </c>
      <c r="B8" s="3">
        <v>35</v>
      </c>
    </row>
    <row r="9" spans="1:2" x14ac:dyDescent="0.35">
      <c r="A9" s="2" t="s">
        <v>17</v>
      </c>
      <c r="B9" s="3">
        <v>1</v>
      </c>
    </row>
    <row r="10" spans="1:2" x14ac:dyDescent="0.35">
      <c r="A10" s="2" t="s">
        <v>15</v>
      </c>
      <c r="B10" s="3">
        <v>109</v>
      </c>
    </row>
    <row r="11" spans="1:2" x14ac:dyDescent="0.35">
      <c r="A11" s="2" t="s">
        <v>14</v>
      </c>
      <c r="B11" s="3">
        <v>1</v>
      </c>
    </row>
    <row r="12" spans="1:2" x14ac:dyDescent="0.35">
      <c r="A12" s="2" t="s">
        <v>12</v>
      </c>
      <c r="B12" s="3">
        <v>56</v>
      </c>
    </row>
    <row r="13" spans="1:2" x14ac:dyDescent="0.35">
      <c r="A13" s="2" t="s">
        <v>9</v>
      </c>
      <c r="B13" s="3">
        <v>6</v>
      </c>
    </row>
    <row r="14" spans="1:2" x14ac:dyDescent="0.35">
      <c r="A14" s="2" t="s">
        <v>8</v>
      </c>
      <c r="B14" s="3">
        <v>2</v>
      </c>
    </row>
    <row r="15" spans="1:2" x14ac:dyDescent="0.35">
      <c r="A15" s="2" t="s">
        <v>5</v>
      </c>
      <c r="B15" s="3">
        <v>45</v>
      </c>
    </row>
    <row r="16" spans="1:2" x14ac:dyDescent="0.35">
      <c r="A16" s="2" t="s">
        <v>30</v>
      </c>
      <c r="B16" s="3">
        <v>1582</v>
      </c>
    </row>
  </sheetData>
  <pageMargins left="0.7" right="0.7" top="0.75" bottom="0.75" header="0.3" footer="0.3"/>
  <pageSetup orientation="portrait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D78B-8B00-4702-8E82-296938CC328C}">
  <dimension ref="A3:B25"/>
  <sheetViews>
    <sheetView workbookViewId="0">
      <selection activeCell="A5" sqref="A5"/>
    </sheetView>
  </sheetViews>
  <sheetFormatPr defaultRowHeight="14.5" x14ac:dyDescent="0.35"/>
  <cols>
    <col min="1" max="1" width="29.453125" bestFit="1" customWidth="1"/>
    <col min="2" max="2" width="22.08984375" bestFit="1" customWidth="1"/>
  </cols>
  <sheetData>
    <row r="3" spans="1:2" x14ac:dyDescent="0.35">
      <c r="A3" s="1" t="s">
        <v>29</v>
      </c>
      <c r="B3" t="s">
        <v>31</v>
      </c>
    </row>
    <row r="4" spans="1:2" x14ac:dyDescent="0.35">
      <c r="A4" s="2" t="s">
        <v>26</v>
      </c>
      <c r="B4" s="3">
        <v>1221</v>
      </c>
    </row>
    <row r="5" spans="1:2" x14ac:dyDescent="0.35">
      <c r="A5" s="4" t="s">
        <v>16</v>
      </c>
      <c r="B5" s="3">
        <v>5</v>
      </c>
    </row>
    <row r="6" spans="1:2" x14ac:dyDescent="0.35">
      <c r="A6" s="4" t="s">
        <v>13</v>
      </c>
      <c r="B6" s="3">
        <v>248</v>
      </c>
    </row>
    <row r="7" spans="1:2" x14ac:dyDescent="0.35">
      <c r="A7" s="4" t="s">
        <v>11</v>
      </c>
      <c r="B7" s="3">
        <v>98</v>
      </c>
    </row>
    <row r="8" spans="1:2" x14ac:dyDescent="0.35">
      <c r="A8" s="4" t="s">
        <v>28</v>
      </c>
      <c r="B8" s="3">
        <v>276</v>
      </c>
    </row>
    <row r="9" spans="1:2" x14ac:dyDescent="0.35">
      <c r="A9" s="4" t="s">
        <v>6</v>
      </c>
      <c r="B9" s="3">
        <v>93</v>
      </c>
    </row>
    <row r="10" spans="1:2" x14ac:dyDescent="0.35">
      <c r="A10" s="4" t="s">
        <v>4</v>
      </c>
      <c r="B10" s="3">
        <v>37</v>
      </c>
    </row>
    <row r="11" spans="1:2" x14ac:dyDescent="0.35">
      <c r="A11" s="4" t="s">
        <v>7</v>
      </c>
      <c r="B11" s="3">
        <v>53</v>
      </c>
    </row>
    <row r="12" spans="1:2" x14ac:dyDescent="0.35">
      <c r="A12" s="4" t="s">
        <v>27</v>
      </c>
      <c r="B12" s="3">
        <v>379</v>
      </c>
    </row>
    <row r="13" spans="1:2" x14ac:dyDescent="0.35">
      <c r="A13" s="4" t="s">
        <v>10</v>
      </c>
      <c r="B13" s="3">
        <v>32</v>
      </c>
    </row>
    <row r="14" spans="1:2" x14ac:dyDescent="0.35">
      <c r="A14" s="2" t="s">
        <v>25</v>
      </c>
      <c r="B14" s="3">
        <v>16</v>
      </c>
    </row>
    <row r="15" spans="1:2" x14ac:dyDescent="0.35">
      <c r="A15" s="2" t="s">
        <v>24</v>
      </c>
      <c r="B15" s="3">
        <v>5</v>
      </c>
    </row>
    <row r="16" spans="1:2" x14ac:dyDescent="0.35">
      <c r="A16" s="2" t="s">
        <v>19</v>
      </c>
      <c r="B16" s="3">
        <v>85</v>
      </c>
    </row>
    <row r="17" spans="1:2" x14ac:dyDescent="0.35">
      <c r="A17" s="2" t="s">
        <v>18</v>
      </c>
      <c r="B17" s="3">
        <v>35</v>
      </c>
    </row>
    <row r="18" spans="1:2" x14ac:dyDescent="0.35">
      <c r="A18" s="2" t="s">
        <v>17</v>
      </c>
      <c r="B18" s="3">
        <v>1</v>
      </c>
    </row>
    <row r="19" spans="1:2" x14ac:dyDescent="0.35">
      <c r="A19" s="2" t="s">
        <v>15</v>
      </c>
      <c r="B19" s="3">
        <v>109</v>
      </c>
    </row>
    <row r="20" spans="1:2" x14ac:dyDescent="0.35">
      <c r="A20" s="2" t="s">
        <v>14</v>
      </c>
      <c r="B20" s="3">
        <v>1</v>
      </c>
    </row>
    <row r="21" spans="1:2" x14ac:dyDescent="0.35">
      <c r="A21" s="2" t="s">
        <v>12</v>
      </c>
      <c r="B21" s="3">
        <v>56</v>
      </c>
    </row>
    <row r="22" spans="1:2" x14ac:dyDescent="0.35">
      <c r="A22" s="2" t="s">
        <v>9</v>
      </c>
      <c r="B22" s="3">
        <v>6</v>
      </c>
    </row>
    <row r="23" spans="1:2" x14ac:dyDescent="0.35">
      <c r="A23" s="2" t="s">
        <v>8</v>
      </c>
      <c r="B23" s="3">
        <v>2</v>
      </c>
    </row>
    <row r="24" spans="1:2" x14ac:dyDescent="0.35">
      <c r="A24" s="2" t="s">
        <v>5</v>
      </c>
      <c r="B24" s="3">
        <v>45</v>
      </c>
    </row>
    <row r="25" spans="1:2" x14ac:dyDescent="0.35">
      <c r="A25" s="2" t="s">
        <v>30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CBB4-3B86-4677-9850-0CCBE9D1F225}">
  <dimension ref="A3:B21"/>
  <sheetViews>
    <sheetView tabSelected="1" workbookViewId="0">
      <selection activeCell="C13" sqref="C13"/>
    </sheetView>
  </sheetViews>
  <sheetFormatPr defaultRowHeight="14.5" x14ac:dyDescent="0.35"/>
  <cols>
    <col min="1" max="1" width="26.36328125" bestFit="1" customWidth="1"/>
    <col min="2" max="2" width="22.08984375" bestFit="1" customWidth="1"/>
  </cols>
  <sheetData>
    <row r="3" spans="1:2" x14ac:dyDescent="0.35">
      <c r="A3" s="1" t="s">
        <v>29</v>
      </c>
      <c r="B3" t="s">
        <v>31</v>
      </c>
    </row>
    <row r="4" spans="1:2" x14ac:dyDescent="0.35">
      <c r="A4" s="2" t="s">
        <v>16</v>
      </c>
      <c r="B4" s="3">
        <v>15</v>
      </c>
    </row>
    <row r="5" spans="1:2" x14ac:dyDescent="0.35">
      <c r="A5" s="4" t="s">
        <v>15</v>
      </c>
      <c r="B5" s="3">
        <v>9</v>
      </c>
    </row>
    <row r="6" spans="1:2" x14ac:dyDescent="0.35">
      <c r="A6" s="4" t="s">
        <v>25</v>
      </c>
      <c r="B6" s="3">
        <v>1</v>
      </c>
    </row>
    <row r="7" spans="1:2" x14ac:dyDescent="0.35">
      <c r="A7" s="4" t="s">
        <v>26</v>
      </c>
      <c r="B7" s="3">
        <v>5</v>
      </c>
    </row>
    <row r="8" spans="1:2" x14ac:dyDescent="0.35">
      <c r="A8" s="2" t="s">
        <v>13</v>
      </c>
      <c r="B8" s="3">
        <v>290</v>
      </c>
    </row>
    <row r="9" spans="1:2" x14ac:dyDescent="0.35">
      <c r="A9" s="2" t="s">
        <v>11</v>
      </c>
      <c r="B9" s="3">
        <v>100</v>
      </c>
    </row>
    <row r="10" spans="1:2" x14ac:dyDescent="0.35">
      <c r="A10" s="2" t="s">
        <v>28</v>
      </c>
      <c r="B10" s="3">
        <v>283</v>
      </c>
    </row>
    <row r="11" spans="1:2" x14ac:dyDescent="0.35">
      <c r="A11" s="2" t="s">
        <v>6</v>
      </c>
      <c r="B11" s="3">
        <v>150</v>
      </c>
    </row>
    <row r="12" spans="1:2" x14ac:dyDescent="0.35">
      <c r="A12" s="2" t="s">
        <v>21</v>
      </c>
      <c r="B12" s="3">
        <v>4</v>
      </c>
    </row>
    <row r="13" spans="1:2" x14ac:dyDescent="0.35">
      <c r="A13" s="2" t="s">
        <v>23</v>
      </c>
      <c r="B13" s="3">
        <v>1</v>
      </c>
    </row>
    <row r="14" spans="1:2" x14ac:dyDescent="0.35">
      <c r="A14" s="2" t="s">
        <v>22</v>
      </c>
      <c r="B14" s="3">
        <v>47</v>
      </c>
    </row>
    <row r="15" spans="1:2" x14ac:dyDescent="0.35">
      <c r="A15" s="2" t="s">
        <v>3</v>
      </c>
      <c r="B15" s="3">
        <v>20</v>
      </c>
    </row>
    <row r="16" spans="1:2" x14ac:dyDescent="0.35">
      <c r="A16" s="2" t="s">
        <v>20</v>
      </c>
      <c r="B16" s="3">
        <v>8</v>
      </c>
    </row>
    <row r="17" spans="1:2" x14ac:dyDescent="0.35">
      <c r="A17" s="2" t="s">
        <v>4</v>
      </c>
      <c r="B17" s="3">
        <v>130</v>
      </c>
    </row>
    <row r="18" spans="1:2" x14ac:dyDescent="0.35">
      <c r="A18" s="2" t="s">
        <v>7</v>
      </c>
      <c r="B18" s="3">
        <v>90</v>
      </c>
    </row>
    <row r="19" spans="1:2" x14ac:dyDescent="0.35">
      <c r="A19" s="2" t="s">
        <v>27</v>
      </c>
      <c r="B19" s="3">
        <v>379</v>
      </c>
    </row>
    <row r="20" spans="1:2" x14ac:dyDescent="0.35">
      <c r="A20" s="2" t="s">
        <v>10</v>
      </c>
      <c r="B20" s="3">
        <v>65</v>
      </c>
    </row>
    <row r="21" spans="1:2" x14ac:dyDescent="0.35">
      <c r="A21" s="2" t="s">
        <v>30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Pivot1</vt:lpstr>
      <vt:lpstr>Pivot2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Abdullah</dc:creator>
  <cp:lastModifiedBy>Nour Abdullah</cp:lastModifiedBy>
  <dcterms:created xsi:type="dcterms:W3CDTF">2020-09-01T17:18:12Z</dcterms:created>
  <dcterms:modified xsi:type="dcterms:W3CDTF">2023-02-18T02:25:31Z</dcterms:modified>
</cp:coreProperties>
</file>